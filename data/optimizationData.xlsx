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<sst xmlns="http://schemas.openxmlformats.org/spreadsheetml/2006/main" count="30" uniqueCount="30">
  <si>
    <t>光伏年化投资系数</t>
  </si>
  <si>
    <t>风电年化投资系数</t>
  </si>
  <si>
    <t>燃气轮机年化投资系数</t>
  </si>
  <si>
    <t>电热泵年化投资系数</t>
  </si>
  <si>
    <t>电制冷年化投资系数</t>
  </si>
  <si>
    <t>吸收式制冷年化投资系数</t>
  </si>
  <si>
    <t>电储能年化投资系数</t>
  </si>
  <si>
    <t>热储能年化投资系数</t>
  </si>
  <si>
    <t>冷储能年化投资系数</t>
  </si>
  <si>
    <t>光伏年化维护系数</t>
  </si>
  <si>
    <t>风电年化维护系数</t>
  </si>
  <si>
    <t>燃气轮机年化维护系数</t>
  </si>
  <si>
    <t>电热泵年化维护系数</t>
  </si>
  <si>
    <t>电制冷年化维护系数</t>
  </si>
  <si>
    <t>吸收式制冷年化维护系数</t>
  </si>
  <si>
    <t>电储能年化维护系数</t>
  </si>
  <si>
    <t>热储能年化维护系数</t>
  </si>
  <si>
    <t>冷储能年化维护系数</t>
  </si>
  <si>
    <t>光伏年化成本系数</t>
  </si>
  <si>
    <t>风电年化成本系数</t>
  </si>
  <si>
    <t>燃气轮机年化成本系数</t>
  </si>
  <si>
    <t>电热泵年化成本系数</t>
  </si>
  <si>
    <t>电制冷年化成本系数</t>
  </si>
  <si>
    <t>吸收式制冷年化成本系数</t>
  </si>
  <si>
    <t>电储能年化成本系数</t>
  </si>
  <si>
    <t>热储能年化成本系数</t>
  </si>
  <si>
    <t>冷储能年化成本系数</t>
  </si>
  <si>
    <r>
      <t>电容量费（</t>
    </r>
    <r>
      <rPr>
        <sz val="11"/>
        <color rgb="FF000000"/>
        <rFont val="等线"/>
        <family val="2"/>
      </rPr>
      <t>€</t>
    </r>
    <r>
      <rPr>
        <sz val="11"/>
        <color rgb="FF000000"/>
        <rFont val="等线"/>
        <family val="2"/>
      </rPr>
      <t>/(kWxMonth)）</t>
    </r>
  </si>
  <si>
    <r>
      <t>电价（</t>
    </r>
    <r>
      <rPr>
        <sz val="11"/>
        <color rgb="FF000000"/>
        <rFont val="等线"/>
        <family val="2"/>
      </rPr>
      <t>€</t>
    </r>
    <r>
      <rPr>
        <sz val="11"/>
        <color rgb="FF000000"/>
        <rFont val="等线"/>
        <family val="2"/>
      </rPr>
      <t>/kWh）</t>
    </r>
  </si>
  <si>
    <r>
      <t>气价（</t>
    </r>
    <r>
      <rPr>
        <sz val="11"/>
        <color rgb="FF000000"/>
        <rFont val="等线"/>
        <family val="2"/>
      </rPr>
      <t>€</t>
    </r>
    <r>
      <rPr>
        <sz val="11"/>
        <color rgb="FF000000"/>
        <rFont val="等线"/>
        <family val="2"/>
      </rPr>
      <t>/kWh）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</si>
</sst>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4" width="27.433571428571426" customWidth="1" bestFit="1"/>
    <col min="2" max="2" style="4" width="18.290714285714284" customWidth="1" bestFit="1"/>
    <col min="3" max="3" style="4" width="22.719285714285714" customWidth="1" bestFit="1"/>
    <col min="4" max="4" style="5" width="20.433571428571426" customWidth="1" bestFit="1"/>
    <col min="5" max="5" style="5" width="20.433571428571426" customWidth="1" bestFit="1"/>
    <col min="6" max="6" style="5" width="24.862142857142857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f>0.08*1.08^25/(1.08^25-1)*800</f>
      </c>
      <c r="B2" s="3">
        <f>0.08*1.08^22/(1.08^22-1)*1100</f>
      </c>
      <c r="C2" s="3">
        <f>0.08*1.08^30/(1.08^30-1)*550</f>
      </c>
      <c r="D2" s="3">
        <f>0.08*1.08^20/(1.08^20-1)*1940/19*2</f>
      </c>
      <c r="E2" s="3">
        <f>0.08*1.08^20/(1.08^20-1)*6600/60*2</f>
      </c>
      <c r="F2" s="3">
        <f>0.08*1.08^20/(1.08^20-1)*210</f>
      </c>
      <c r="G2" s="3">
        <f>0.08*1.08^20/(1.08^20-1)*170*2</f>
      </c>
      <c r="H2" s="3">
        <f>0.08*1.08^25/(1.08^25-1)*18</f>
      </c>
      <c r="I2" s="3">
        <f>0.08*1.08^25/(1.08^25-1)*18</f>
      </c>
    </row>
    <row x14ac:dyDescent="0.25" r="3" customHeight="1" ht="18.75">
      <c r="A3" s="1"/>
      <c r="B3" s="1"/>
      <c r="C3" s="1"/>
      <c r="D3" s="2"/>
      <c r="E3" s="2"/>
      <c r="F3" s="2"/>
      <c r="G3" s="2"/>
      <c r="H3" s="2"/>
      <c r="I3" s="2"/>
    </row>
    <row x14ac:dyDescent="0.25" r="4" customHeight="1" ht="18.75">
      <c r="A4" s="1" t="s">
        <v>9</v>
      </c>
      <c r="B4" s="1" t="s">
        <v>10</v>
      </c>
      <c r="C4" s="1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x14ac:dyDescent="0.25" r="5" customHeight="1" ht="18.75">
      <c r="A5" s="3">
        <f>A2*0.02</f>
      </c>
      <c r="B5" s="3">
        <f>B2*0.024</f>
      </c>
      <c r="C5" s="3">
        <f>C2*0.03</f>
      </c>
      <c r="D5" s="3">
        <f>D2*0.02</f>
      </c>
      <c r="E5" s="3">
        <f>E2*0.02</f>
      </c>
      <c r="F5" s="3">
        <f>F2*0.02</f>
      </c>
      <c r="G5" s="3">
        <f>G2*0.014</f>
      </c>
      <c r="H5" s="3">
        <f>H2*0.002</f>
      </c>
      <c r="I5" s="3">
        <f>I2*0.002</f>
      </c>
    </row>
    <row x14ac:dyDescent="0.25" r="6" customHeight="1" ht="18.75">
      <c r="A6" s="1"/>
      <c r="B6" s="1"/>
      <c r="C6" s="1"/>
      <c r="D6" s="2"/>
      <c r="E6" s="2"/>
      <c r="F6" s="2"/>
      <c r="G6" s="2"/>
      <c r="H6" s="2"/>
      <c r="I6" s="2"/>
    </row>
    <row x14ac:dyDescent="0.25" r="7" customHeight="1" ht="18.75">
      <c r="A7" s="1" t="s">
        <v>18</v>
      </c>
      <c r="B7" s="1" t="s">
        <v>19</v>
      </c>
      <c r="C7" s="1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</row>
    <row x14ac:dyDescent="0.25" r="8" customHeight="1" ht="18.75">
      <c r="A8" s="3">
        <f>A2+A5</f>
      </c>
      <c r="B8" s="3">
        <f>B2+B5</f>
      </c>
      <c r="C8" s="3">
        <f>C2+C5</f>
      </c>
      <c r="D8" s="3">
        <f>D2+D5</f>
      </c>
      <c r="E8" s="3">
        <f>E2+E5</f>
      </c>
      <c r="F8" s="3">
        <f>F2+F5</f>
      </c>
      <c r="G8" s="3">
        <f>G2+G5</f>
      </c>
      <c r="H8" s="3">
        <f>H2+H5</f>
      </c>
      <c r="I8" s="3">
        <f>I2+I5</f>
      </c>
    </row>
    <row x14ac:dyDescent="0.25" r="9" customHeight="1" ht="18.75">
      <c r="A9" s="1"/>
      <c r="B9" s="1"/>
      <c r="C9" s="1"/>
      <c r="D9" s="2"/>
      <c r="E9" s="2"/>
      <c r="F9" s="2"/>
      <c r="G9" s="2"/>
      <c r="H9" s="2"/>
      <c r="I9" s="2"/>
    </row>
    <row x14ac:dyDescent="0.25" r="10" customHeight="1" ht="18.75">
      <c r="A10" s="1" t="s">
        <v>27</v>
      </c>
      <c r="B10" s="1" t="s">
        <v>28</v>
      </c>
      <c r="C10" s="1" t="s">
        <v>29</v>
      </c>
      <c r="D10" s="2"/>
      <c r="E10" s="2"/>
      <c r="F10" s="2"/>
      <c r="G10" s="2"/>
      <c r="H10" s="2"/>
      <c r="I10" s="2"/>
    </row>
    <row x14ac:dyDescent="0.25" r="11" customHeight="1" ht="18.75">
      <c r="A11" s="3">
        <v>16.7</v>
      </c>
      <c r="B11" s="3">
        <v>0.0028</v>
      </c>
      <c r="C11" s="3">
        <v>0.0286</v>
      </c>
      <c r="D11" s="2"/>
      <c r="E11" s="2"/>
      <c r="F11" s="2"/>
      <c r="G11" s="2"/>
      <c r="H11" s="2"/>
      <c r="I1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2025-12-09T02:42:39.751Z</dcterms:created>
  <dcterms:modified xsi:type="dcterms:W3CDTF">2025-12-09T02:42:39.751Z</dcterms:modified>
</cp:coreProperties>
</file>